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\Desktop\"/>
    </mc:Choice>
  </mc:AlternateContent>
  <xr:revisionPtr revIDLastSave="0" documentId="13_ncr:1_{06DAEE50-DDA9-4EC2-9424-A44A9CACF957}" xr6:coauthVersionLast="45" xr6:coauthVersionMax="45" xr10:uidLastSave="{00000000-0000-0000-0000-000000000000}"/>
  <bookViews>
    <workbookView xWindow="-120" yWindow="-120" windowWidth="29040" windowHeight="15840" xr2:uid="{0873FDB7-69D5-455C-A20B-80244DD876BA}"/>
  </bookViews>
  <sheets>
    <sheet name="Sheet1" sheetId="1" r:id="rId1"/>
  </sheets>
  <definedNames>
    <definedName name="cell">Sheet1!$J$4</definedName>
    <definedName name="doublestack">Sheet1!$J$7</definedName>
    <definedName name="parallel">Sheet1!$J$6</definedName>
    <definedName name="series">Sheet1!$J$5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5" i="1" l="1"/>
  <c r="L15" i="1" s="1"/>
  <c r="J13" i="1"/>
  <c r="L13" i="1" s="1"/>
  <c r="J14" i="1"/>
  <c r="L14" i="1" s="1"/>
  <c r="K12" i="1"/>
  <c r="J12" i="1"/>
  <c r="K11" i="1"/>
  <c r="J11" i="1"/>
  <c r="I11" i="1"/>
  <c r="L12" i="1" l="1"/>
  <c r="L11" i="1"/>
  <c r="L16" i="1" l="1"/>
  <c r="L17" i="1" s="1"/>
</calcChain>
</file>

<file path=xl/sharedStrings.xml><?xml version="1.0" encoding="utf-8"?>
<sst xmlns="http://schemas.openxmlformats.org/spreadsheetml/2006/main" count="44" uniqueCount="40">
  <si>
    <t>Cells</t>
  </si>
  <si>
    <t>Per cell material cost</t>
  </si>
  <si>
    <t>Labor</t>
  </si>
  <si>
    <t>30Q</t>
  </si>
  <si>
    <t>VTC6</t>
  </si>
  <si>
    <t>40T</t>
  </si>
  <si>
    <t>30T</t>
  </si>
  <si>
    <t>Cell</t>
  </si>
  <si>
    <t>$</t>
  </si>
  <si>
    <t>Ah</t>
  </si>
  <si>
    <t>Discharge</t>
  </si>
  <si>
    <t>Key</t>
  </si>
  <si>
    <t>Val</t>
  </si>
  <si>
    <t>Shipping</t>
  </si>
  <si>
    <t>10S-labor</t>
  </si>
  <si>
    <t>12S-labor</t>
  </si>
  <si>
    <t>10S-bms</t>
  </si>
  <si>
    <t>12S-bms</t>
  </si>
  <si>
    <t>Series Count</t>
  </si>
  <si>
    <t>Parallel Count</t>
  </si>
  <si>
    <t>Double stack</t>
  </si>
  <si>
    <t>x</t>
  </si>
  <si>
    <t>Item</t>
  </si>
  <si>
    <t>Qt</t>
  </si>
  <si>
    <t>$$</t>
  </si>
  <si>
    <t>Material Cost</t>
  </si>
  <si>
    <t>BMS</t>
  </si>
  <si>
    <t>PayPal Fee</t>
  </si>
  <si>
    <t>Total</t>
  </si>
  <si>
    <t>Dia</t>
  </si>
  <si>
    <t>Len</t>
  </si>
  <si>
    <t>Battery</t>
  </si>
  <si>
    <t>Wh</t>
  </si>
  <si>
    <t>Range (est)</t>
  </si>
  <si>
    <t>Width</t>
  </si>
  <si>
    <t>Height</t>
  </si>
  <si>
    <t>Voltage</t>
  </si>
  <si>
    <t>Length</t>
  </si>
  <si>
    <t xml:space="preserve">   Urethane (20Wh/mi)</t>
  </si>
  <si>
    <t xml:space="preserve">   Pnumatic (40Wh/mi)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</si>
</sst>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A8A8"/>
        <bgColor indexed="64"/>
      </patternFill>
    </fill>
    <fill>
      <patternFill patternType="solid">
        <fgColor rgb="FFC9C9C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2" fontId="0" fillId="0" borderId="0" xfId="0" applyNumberForma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5576B-2B59-48D8-8146-5EA0B8049525}">
  <sheetPr codeName="Sheet1"/>
  <dimension ref="A1:BF33"/>
  <sheetViews>
    <sheetView tabSelected="1" zoomScale="70" zoomScaleNormal="70" zoomScaleSheetLayoutView="50" workbookViewId="0">
      <selection activeCell="A2" sqref="A2"/>
    </sheetView>
  </sheetViews>
  <sheetFormatPr defaultColWidth="9.140625" defaultRowHeight="15" x14ac:dyDescent="0.25"/>
  <cols>
    <col min="1" max="1" width="20.7109375" style="6" bestFit="1" customWidth="1"/>
    <col min="2" max="2" width="5.42578125" style="3" bestFit="1" customWidth="1"/>
    <col min="3" max="3" width="4.85546875" style="3" bestFit="1" customWidth="1"/>
    <col min="4" max="4" width="13.140625" style="3" bestFit="1" customWidth="1"/>
    <col min="5" max="5" width="6.28515625" style="3" bestFit="1" customWidth="1"/>
    <col min="6" max="6" width="6" style="3" bestFit="1" customWidth="1"/>
    <col min="7" max="7" width="4.140625" style="3" hidden="1" customWidth="1"/>
    <col min="8" max="8" width="1.5703125" style="6" customWidth="1"/>
    <col min="9" max="9" width="18.42578125" style="3" bestFit="1" customWidth="1"/>
    <col min="10" max="10" width="6.7109375" style="3" bestFit="1" customWidth="1"/>
    <col min="11" max="11" width="4.42578125" style="3" bestFit="1" customWidth="1"/>
    <col min="12" max="12" width="9.28515625" style="3" bestFit="1" customWidth="1"/>
    <col min="13" max="13" width="4.140625" style="3" customWidth="1"/>
    <col min="14" max="160" width="3.28515625" style="3" customWidth="1"/>
    <col min="161" max="16384" width="9.140625" style="3"/>
  </cols>
  <sheetData>
    <row r="1" spans="1:58" x14ac:dyDescent="0.25">
      <c r="A1" s="4" t="s">
        <v>7</v>
      </c>
      <c r="B1" s="5" t="s">
        <v>8</v>
      </c>
      <c r="C1" s="5" t="s">
        <v>9</v>
      </c>
      <c r="D1" s="5" t="s">
        <v>10</v>
      </c>
      <c r="E1" s="5" t="s">
        <v>29</v>
      </c>
      <c r="F1" s="5" t="s">
        <v>30</v>
      </c>
      <c r="G1" s="5"/>
    </row>
    <row r="2" spans="1:58" x14ac:dyDescent="0.25">
      <c r="A2" s="6" t="s">
        <v>3</v>
      </c>
      <c r="B2" s="3">
        <v>4.2</v>
      </c>
      <c r="C2" s="3">
        <v>3</v>
      </c>
      <c r="D2" s="3">
        <v>20</v>
      </c>
      <c r="E2" s="3">
        <v>18.5</v>
      </c>
      <c r="F2" s="3">
        <v>65</v>
      </c>
    </row>
    <row r="3" spans="1:58" x14ac:dyDescent="0.25">
      <c r="A3" s="6" t="s">
        <v>4</v>
      </c>
      <c r="B3" s="3">
        <v>4.0999999999999996</v>
      </c>
      <c r="C3" s="3">
        <v>3</v>
      </c>
      <c r="D3" s="3">
        <v>20</v>
      </c>
      <c r="E3" s="3">
        <v>18.5</v>
      </c>
      <c r="F3" s="3">
        <v>65</v>
      </c>
    </row>
    <row r="4" spans="1:58" x14ac:dyDescent="0.25">
      <c r="A4" s="6" t="s">
        <v>5</v>
      </c>
      <c r="B4" s="3">
        <v>7</v>
      </c>
      <c r="C4" s="3">
        <v>4</v>
      </c>
      <c r="D4" s="3">
        <v>30</v>
      </c>
      <c r="E4" s="3">
        <v>20.5</v>
      </c>
      <c r="F4" s="3">
        <v>70</v>
      </c>
      <c r="I4" s="6" t="s">
        <v>0</v>
      </c>
      <c r="J4" s="3" t="s">
        <v>4</v>
      </c>
    </row>
    <row r="5" spans="1:58" x14ac:dyDescent="0.25">
      <c r="A5" s="6" t="s">
        <v>6</v>
      </c>
      <c r="B5" s="3">
        <v>7</v>
      </c>
      <c r="C5" s="3">
        <v>3</v>
      </c>
      <c r="D5" s="3">
        <v>35</v>
      </c>
      <c r="E5" s="3">
        <v>20.5</v>
      </c>
      <c r="F5" s="3">
        <v>70</v>
      </c>
      <c r="I5" s="6" t="s">
        <v>18</v>
      </c>
      <c r="J5" s="3">
        <v>12</v>
      </c>
    </row>
    <row r="6" spans="1:58" x14ac:dyDescent="0.25">
      <c r="I6" s="6" t="s">
        <v>19</v>
      </c>
      <c r="J6" s="3">
        <v>7</v>
      </c>
    </row>
    <row r="7" spans="1:58" x14ac:dyDescent="0.25">
      <c r="I7" s="6" t="s">
        <v>20</v>
      </c>
      <c r="J7" s="3" t="s">
        <v>21</v>
      </c>
      <c r="P7" s="13"/>
      <c r="Q7" s="14"/>
      <c r="R7" s="13"/>
      <c r="S7" s="14"/>
      <c r="T7" s="13"/>
      <c r="U7" s="14"/>
      <c r="V7" s="13"/>
      <c r="W7" s="14"/>
      <c r="X7" s="18"/>
      <c r="Y7" s="19"/>
      <c r="Z7" s="18"/>
      <c r="AA7" s="19"/>
      <c r="AB7" s="18"/>
      <c r="AC7" s="19"/>
      <c r="AD7" s="13"/>
      <c r="AE7" s="14"/>
      <c r="AF7" s="13"/>
      <c r="AG7" s="14"/>
      <c r="AH7" s="13"/>
      <c r="AI7" s="14"/>
      <c r="AJ7" s="13"/>
      <c r="AK7" s="14"/>
      <c r="AL7" s="18"/>
      <c r="AM7" s="19"/>
      <c r="AN7" s="18"/>
      <c r="AO7" s="19"/>
      <c r="AP7" s="18"/>
      <c r="AQ7" s="19"/>
      <c r="AR7" s="13"/>
      <c r="AS7" s="14"/>
      <c r="AT7" s="13"/>
      <c r="AU7" s="14"/>
      <c r="AV7" s="13"/>
      <c r="AW7" s="14"/>
      <c r="AX7" s="13"/>
      <c r="AY7" s="14"/>
      <c r="AZ7" s="18"/>
      <c r="BA7" s="19"/>
      <c r="BB7" s="18"/>
      <c r="BC7" s="19"/>
      <c r="BD7" s="18"/>
      <c r="BE7" s="22"/>
    </row>
    <row r="8" spans="1:58" x14ac:dyDescent="0.25">
      <c r="I8" s="6"/>
      <c r="P8" s="15"/>
      <c r="Q8" s="1"/>
      <c r="R8" s="12"/>
      <c r="S8" s="1"/>
      <c r="T8" s="12"/>
      <c r="U8" s="1"/>
      <c r="V8" s="12"/>
      <c r="W8" s="1"/>
      <c r="X8" s="17"/>
      <c r="Y8" s="2"/>
      <c r="Z8" s="17"/>
      <c r="AA8" s="2"/>
      <c r="AB8" s="17"/>
      <c r="AC8" s="2"/>
      <c r="AD8" s="12"/>
      <c r="AE8" s="1"/>
      <c r="AF8" s="12"/>
      <c r="AG8" s="1"/>
      <c r="AH8" s="12"/>
      <c r="AI8" s="1"/>
      <c r="AJ8" s="12"/>
      <c r="AK8" s="1"/>
      <c r="AL8" s="17"/>
      <c r="AM8" s="2"/>
      <c r="AN8" s="17"/>
      <c r="AO8" s="2"/>
      <c r="AP8" s="17"/>
      <c r="AQ8" s="2"/>
      <c r="AR8" s="12"/>
      <c r="AS8" s="1"/>
      <c r="AT8" s="12"/>
      <c r="AU8" s="1"/>
      <c r="AV8" s="12"/>
      <c r="AW8" s="1"/>
      <c r="AX8" s="12"/>
      <c r="AY8" s="1"/>
      <c r="AZ8" s="17"/>
      <c r="BA8" s="2"/>
      <c r="BB8" s="17"/>
      <c r="BC8" s="2"/>
      <c r="BD8" s="17"/>
      <c r="BE8" s="24"/>
    </row>
    <row r="9" spans="1:58" x14ac:dyDescent="0.25">
      <c r="Q9" s="13"/>
      <c r="R9" s="14"/>
      <c r="S9" s="13"/>
      <c r="T9" s="14"/>
      <c r="U9" s="13"/>
      <c r="V9" s="14"/>
      <c r="W9" s="18"/>
      <c r="X9" s="19"/>
      <c r="Y9" s="18"/>
      <c r="Z9" s="19"/>
      <c r="AA9" s="18"/>
      <c r="AB9" s="19"/>
      <c r="AC9" s="18"/>
      <c r="AD9" s="19"/>
      <c r="AE9" s="13"/>
      <c r="AF9" s="14"/>
      <c r="AG9" s="13"/>
      <c r="AH9" s="14"/>
      <c r="AI9" s="13"/>
      <c r="AJ9" s="14"/>
      <c r="AK9" s="18"/>
      <c r="AL9" s="19"/>
      <c r="AM9" s="18"/>
      <c r="AN9" s="19"/>
      <c r="AO9" s="18"/>
      <c r="AP9" s="19"/>
      <c r="AQ9" s="18"/>
      <c r="AR9" s="19"/>
      <c r="AS9" s="13"/>
      <c r="AT9" s="14"/>
      <c r="AU9" s="13"/>
      <c r="AV9" s="14"/>
      <c r="AW9" s="13"/>
      <c r="AX9" s="14"/>
      <c r="AY9" s="18"/>
      <c r="AZ9" s="19"/>
      <c r="BA9" s="18"/>
      <c r="BB9" s="19"/>
      <c r="BC9" s="18"/>
      <c r="BD9" s="19"/>
      <c r="BE9" s="18"/>
      <c r="BF9" s="22"/>
    </row>
    <row r="10" spans="1:58" x14ac:dyDescent="0.25">
      <c r="I10" s="4" t="s">
        <v>22</v>
      </c>
      <c r="J10" s="5" t="s">
        <v>8</v>
      </c>
      <c r="K10" s="5" t="s">
        <v>23</v>
      </c>
      <c r="L10" s="5" t="s">
        <v>24</v>
      </c>
      <c r="Q10" s="15"/>
      <c r="R10" s="16"/>
      <c r="S10" s="15"/>
      <c r="T10" s="16"/>
      <c r="U10" s="15"/>
      <c r="V10" s="16"/>
      <c r="W10" s="20"/>
      <c r="X10" s="21"/>
      <c r="Y10" s="20"/>
      <c r="Z10" s="21"/>
      <c r="AA10" s="20"/>
      <c r="AB10" s="21"/>
      <c r="AC10" s="20"/>
      <c r="AD10" s="21"/>
      <c r="AE10" s="15"/>
      <c r="AF10" s="16"/>
      <c r="AG10" s="15"/>
      <c r="AH10" s="16"/>
      <c r="AI10" s="15"/>
      <c r="AJ10" s="16"/>
      <c r="AK10" s="20"/>
      <c r="AL10" s="21"/>
      <c r="AM10" s="20"/>
      <c r="AN10" s="21"/>
      <c r="AO10" s="20"/>
      <c r="AP10" s="21"/>
      <c r="AQ10" s="20"/>
      <c r="AR10" s="21"/>
      <c r="AS10" s="15"/>
      <c r="AT10" s="16"/>
      <c r="AU10" s="15"/>
      <c r="AV10" s="16"/>
      <c r="AW10" s="15"/>
      <c r="AX10" s="16"/>
      <c r="AY10" s="20"/>
      <c r="AZ10" s="21"/>
      <c r="BA10" s="20"/>
      <c r="BB10" s="21"/>
      <c r="BC10" s="20"/>
      <c r="BD10" s="21"/>
      <c r="BE10" s="20"/>
      <c r="BF10" s="23"/>
    </row>
    <row r="11" spans="1:58" x14ac:dyDescent="0.25">
      <c r="I11" s="6" t="str">
        <f>"Cells - "&amp;J4</f>
        <v>Cells - VTC6</v>
      </c>
      <c r="J11" s="3">
        <f>VLOOKUP(J4,$A$2:$D$5,2,0)</f>
        <v>4.0999999999999996</v>
      </c>
      <c r="K11" s="3">
        <f>J5*J6</f>
        <v>84</v>
      </c>
      <c r="L11" s="7">
        <f>J11*K11</f>
        <v>344.4</v>
      </c>
    </row>
    <row r="12" spans="1:58" x14ac:dyDescent="0.25">
      <c r="I12" s="6" t="s">
        <v>25</v>
      </c>
      <c r="J12" s="3">
        <f>B14</f>
        <v>0.5</v>
      </c>
      <c r="K12" s="3">
        <f>J5*J6</f>
        <v>84</v>
      </c>
      <c r="L12" s="7">
        <f>J12*K12</f>
        <v>42</v>
      </c>
    </row>
    <row r="13" spans="1:58" x14ac:dyDescent="0.25">
      <c r="A13" s="4" t="s">
        <v>11</v>
      </c>
      <c r="B13" s="5" t="s">
        <v>12</v>
      </c>
      <c r="I13" s="6" t="s">
        <v>26</v>
      </c>
      <c r="J13" s="3">
        <f>VLOOKUP(J5&amp;"S-bms",$A$14:$B$20,2,0)</f>
        <v>31</v>
      </c>
      <c r="K13" s="3">
        <v>1</v>
      </c>
      <c r="L13" s="7">
        <f>J13*K13</f>
        <v>31</v>
      </c>
    </row>
    <row r="14" spans="1:58" x14ac:dyDescent="0.25">
      <c r="A14" s="6" t="s">
        <v>1</v>
      </c>
      <c r="B14" s="3">
        <v>0.5</v>
      </c>
      <c r="I14" s="6" t="s">
        <v>2</v>
      </c>
      <c r="J14" s="3">
        <f>B15+VLOOKUP(J5&amp;"S-labor",$A$14:$B$20,2,0)</f>
        <v>195</v>
      </c>
      <c r="K14" s="3">
        <v>1</v>
      </c>
      <c r="L14" s="7">
        <f>J14*K14</f>
        <v>195</v>
      </c>
    </row>
    <row r="15" spans="1:58" x14ac:dyDescent="0.25">
      <c r="A15" s="6" t="s">
        <v>2</v>
      </c>
      <c r="B15" s="3">
        <v>175</v>
      </c>
      <c r="I15" s="6" t="s">
        <v>13</v>
      </c>
      <c r="J15" s="3">
        <f>VLOOKUP(I15,$A$14:$B$20,2,0)</f>
        <v>30</v>
      </c>
      <c r="K15" s="3">
        <v>1</v>
      </c>
      <c r="L15" s="7">
        <f>J15*K15</f>
        <v>30</v>
      </c>
    </row>
    <row r="16" spans="1:58" x14ac:dyDescent="0.25">
      <c r="A16" s="6" t="s">
        <v>13</v>
      </c>
      <c r="B16" s="3">
        <v>30</v>
      </c>
      <c r="I16" s="6" t="s">
        <v>27</v>
      </c>
      <c r="L16" s="7">
        <f>SUM(L11:L15)*0.04</f>
        <v>25.695999999999998</v>
      </c>
    </row>
    <row r="17" spans="1:13" x14ac:dyDescent="0.25">
      <c r="A17" s="6" t="s">
        <v>14</v>
      </c>
      <c r="B17" s="3">
        <v>0</v>
      </c>
      <c r="I17" s="4" t="s">
        <v>28</v>
      </c>
      <c r="J17" s="5"/>
      <c r="K17" s="5"/>
      <c r="L17" s="8">
        <f>SUM(L11:L16)</f>
        <v>668.096</v>
      </c>
    </row>
    <row r="18" spans="1:13" x14ac:dyDescent="0.25">
      <c r="A18" s="6" t="s">
        <v>15</v>
      </c>
      <c r="B18" s="3">
        <v>20</v>
      </c>
    </row>
    <row r="19" spans="1:13" x14ac:dyDescent="0.25">
      <c r="A19" s="6" t="s">
        <v>16</v>
      </c>
      <c r="B19" s="3">
        <v>30</v>
      </c>
    </row>
    <row r="20" spans="1:13" x14ac:dyDescent="0.25">
      <c r="A20" s="6" t="s">
        <v>17</v>
      </c>
      <c r="B20" s="3">
        <v>31</v>
      </c>
    </row>
    <row r="23" spans="1:13" x14ac:dyDescent="0.25">
      <c r="I23" s="6" t="s">
        <v>31</v>
      </c>
      <c r="J23" s="9"/>
      <c r="K23" s="9"/>
      <c r="L23" s="9"/>
      <c r="M23" s="9"/>
    </row>
    <row r="24" spans="1:13" x14ac:dyDescent="0.25">
      <c r="I24" s="6" t="s">
        <v>36</v>
      </c>
      <c r="J24" s="9"/>
      <c r="K24" s="9"/>
      <c r="L24" s="9"/>
      <c r="M24" s="9"/>
    </row>
    <row r="25" spans="1:13" x14ac:dyDescent="0.25">
      <c r="I25" s="6" t="s">
        <v>32</v>
      </c>
      <c r="J25" s="9"/>
      <c r="K25" s="9"/>
      <c r="L25" s="9"/>
      <c r="M25" s="9"/>
    </row>
    <row r="26" spans="1:13" x14ac:dyDescent="0.25">
      <c r="I26" s="6" t="s">
        <v>33</v>
      </c>
      <c r="J26" s="9"/>
      <c r="K26" s="9"/>
      <c r="L26" s="9"/>
      <c r="M26" s="9"/>
    </row>
    <row r="27" spans="1:13" x14ac:dyDescent="0.25">
      <c r="I27" s="10" t="s">
        <v>38</v>
      </c>
      <c r="J27" s="11"/>
      <c r="K27" s="11"/>
      <c r="L27" s="11"/>
      <c r="M27" s="11"/>
    </row>
    <row r="28" spans="1:13" x14ac:dyDescent="0.25">
      <c r="I28" s="10" t="s">
        <v>39</v>
      </c>
      <c r="J28" s="11"/>
      <c r="K28" s="11"/>
      <c r="L28" s="11"/>
      <c r="M28" s="11"/>
    </row>
    <row r="29" spans="1:13" x14ac:dyDescent="0.25">
      <c r="I29" s="6" t="s">
        <v>37</v>
      </c>
      <c r="J29" s="9"/>
      <c r="K29" s="9"/>
      <c r="L29" s="9"/>
      <c r="M29" s="9"/>
    </row>
    <row r="30" spans="1:13" x14ac:dyDescent="0.25">
      <c r="I30" s="6" t="s">
        <v>34</v>
      </c>
      <c r="J30" s="9"/>
      <c r="K30" s="9"/>
      <c r="L30" s="9"/>
      <c r="M30" s="9"/>
    </row>
    <row r="31" spans="1:13" x14ac:dyDescent="0.25">
      <c r="I31" s="6" t="s">
        <v>35</v>
      </c>
      <c r="J31" s="9"/>
      <c r="K31" s="9"/>
      <c r="L31" s="9"/>
      <c r="M31" s="9"/>
    </row>
    <row r="32" spans="1:13" x14ac:dyDescent="0.25">
      <c r="I32" s="6"/>
    </row>
    <row r="33" spans="9:9" x14ac:dyDescent="0.25">
      <c r="I33" s="6"/>
    </row>
  </sheetData>
  <mergeCells count="9">
    <mergeCell ref="J31:M31"/>
    <mergeCell ref="J23:M23"/>
    <mergeCell ref="J24:M24"/>
    <mergeCell ref="J25:M25"/>
    <mergeCell ref="J26:M26"/>
    <mergeCell ref="J27:M27"/>
    <mergeCell ref="J28:M28"/>
    <mergeCell ref="J29:M29"/>
    <mergeCell ref="J30:M30"/>
  </mergeCells>
  <dataValidations count="1">
    <dataValidation type="list" allowBlank="1" showInputMessage="1" showErrorMessage="1" sqref="J4" xr:uid="{81D73392-DDAF-4562-BB10-932E60FB9E9F}">
      <formula1>$A$2:$A$5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cell</vt:lpstr>
      <vt:lpstr>doublestack</vt:lpstr>
      <vt:lpstr>parallel</vt:lpstr>
      <vt:lpstr>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</dc:creator>
  <cp:lastModifiedBy>jc</cp:lastModifiedBy>
  <dcterms:created xsi:type="dcterms:W3CDTF">2019-10-26T16:37:20Z</dcterms:created>
  <dcterms:modified xsi:type="dcterms:W3CDTF">2019-10-28T05:21:51Z</dcterms:modified>
</cp:coreProperties>
</file>